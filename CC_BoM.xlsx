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 Farm\"/>
    </mc:Choice>
  </mc:AlternateContent>
  <xr:revisionPtr revIDLastSave="0" documentId="13_ncr:1_{F90D88E7-909F-4441-A3BC-0DF97F008650}" xr6:coauthVersionLast="47" xr6:coauthVersionMax="47" xr10:uidLastSave="{00000000-0000-0000-0000-000000000000}"/>
  <bookViews>
    <workbookView xWindow="34620" yWindow="2070" windowWidth="7500" windowHeight="6000" xr2:uid="{E649B8D2-9FA7-4A6D-B474-4559AE0A2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<sst xmlns="http://schemas.openxmlformats.org/spreadsheetml/2006/main" count="144" uniqueCount="144">
  <si>
    <t>Name</t>
  </si>
  <si>
    <t>Description</t>
  </si>
  <si>
    <t>Quantity</t>
  </si>
  <si>
    <t>PCB Annotation</t>
  </si>
  <si>
    <t>Source</t>
  </si>
  <si>
    <t>Battery Battery Monitor IC Lithium Ion</t>
  </si>
  <si>
    <t>LTC4162IUFD-L41M#PBF</t>
  </si>
  <si>
    <t>2N7002</t>
  </si>
  <si>
    <t>NTCS0402E3103FLT</t>
  </si>
  <si>
    <t>https://www.mouser.ca/ProductDetail/Vishay-BC-Components/NTCS0402E3103FLT?qs=%2Fha2pyFaduihBwLmALUiD7HgpscXl%252BxDUzkU%2F4sxQoRPH1fz8j%252B1og%3D%3D</t>
  </si>
  <si>
    <t>XAL5030-472MEC (XAL5030-161MEC)</t>
  </si>
  <si>
    <t>https://www.mouser.ca/ProductDetail/Coilcraft/XAL5030-472MEC?qs=%2Fha2pyFadugiM9fsE9yCgCxBHl3VMUPWiNLosrhU%252Bb2%2FUad11oAuvg%3D%3D</t>
  </si>
  <si>
    <t>LD29080S33R</t>
  </si>
  <si>
    <t>https://www.digikey.ca/en/products/detail/stmicroelectronics/LD29080S33R/3458193</t>
  </si>
  <si>
    <t>MMSZ5230B-7-F</t>
  </si>
  <si>
    <t>https://www.digikey.ca/en/products/detail/diodes-incorporated/MMSZ5230B-7-F/814370</t>
  </si>
  <si>
    <t>MOSFET201</t>
  </si>
  <si>
    <t>U201</t>
  </si>
  <si>
    <t>Q201</t>
  </si>
  <si>
    <t>R204</t>
  </si>
  <si>
    <t>L201</t>
  </si>
  <si>
    <t>FDS8870</t>
  </si>
  <si>
    <t>https://www.digikey.ca/en/products/detail/on-semiconductor/FDS8870/3478357</t>
  </si>
  <si>
    <t>PNP5WVJT-73-5R</t>
  </si>
  <si>
    <t>R202, R207</t>
  </si>
  <si>
    <t>5 Ohms ±5% 5W Through Hole Resistor Axial Flame Retardant Coating, Safety Wirewound</t>
  </si>
  <si>
    <t>https://www.digikey.ca/en/products/detail/yageo/PNP5WVJT-73-5R/4135362</t>
  </si>
  <si>
    <t>EEU-FC1H151</t>
  </si>
  <si>
    <t>C201</t>
  </si>
  <si>
    <t>C202</t>
  </si>
  <si>
    <t>150 µF 50 V Aluminum Electrolytic Capacitors Radial, Can - 3000 Hrs @ 105°C</t>
  </si>
  <si>
    <t>https://www.digikey.ca/en/products/detail/panasonic-electronic-components/EEU-FC1H151/356157</t>
  </si>
  <si>
    <t>R205</t>
  </si>
  <si>
    <t>16 mOhms ±1% 1W Chip Resistor 1206 (3216 Metric) Automotive AEC-Q200, Current Sense Thick Film</t>
  </si>
  <si>
    <t>ERJ-8BWFR016V</t>
  </si>
  <si>
    <t>PE1206FRF070R01L</t>
  </si>
  <si>
    <t>R206</t>
  </si>
  <si>
    <t>10 mOhms ±1% 0.25W, 1/4W Chip Resistor 1206 (3216 Metric) Automotive AEC-Q200, Current Sense, Moisture Resistant Metal Foil</t>
  </si>
  <si>
    <t>https://www.digikey.ca/en/products/detail/yageo/PE1206FRF070R01L/5914310</t>
  </si>
  <si>
    <t>https://www.digikey.ca/en/products/detail/panasonic-electronic-components/ERJ-8BWFR016V/1711637?s=N4IgTCBcDaIKICUBSBaAHAIQOoDEEAYBGANgDUQBdAXyA</t>
  </si>
  <si>
    <t>Value</t>
  </si>
  <si>
    <t xml:space="preserve">5Ω </t>
  </si>
  <si>
    <t>https://www.digikey.ca/en/products/detail/analog-devices-inc/LTC4162IUFD-L40M-PBF/9446119</t>
  </si>
  <si>
    <t>IC BATT MON LI-ION 1-8CELL 28QFN</t>
  </si>
  <si>
    <t>FDMC86570L</t>
  </si>
  <si>
    <t>MOSFET N-CH 60V 18A/56A POWER33</t>
  </si>
  <si>
    <t>N-Channel 60 V 18A (Ta), 56A (Tc) 2.3W (Ta), 54W (Tc) Surface Mount Power33</t>
  </si>
  <si>
    <t>https://www.digikey.ca/en/products/detail/on-semiconductor/FDMC86570L/4214735</t>
  </si>
  <si>
    <t>N-Channel 60 V 115mA (Ta) 200mW (Ta) Surface Mount SOT-23-3</t>
  </si>
  <si>
    <t>MOSFET N-CH 60V 115MA SOT23-3</t>
  </si>
  <si>
    <t>THERMISTOR NTC 10KOHM 3490K 0402</t>
  </si>
  <si>
    <t>NTC Thermistor 10k 0402 (1005 Metric)</t>
  </si>
  <si>
    <t>4.7uH</t>
  </si>
  <si>
    <t>Fixed Inductors 4.7uH Shld 20% 5.9A 36mOhms AECQ2</t>
  </si>
  <si>
    <t>150 µF</t>
  </si>
  <si>
    <t>C205</t>
  </si>
  <si>
    <t>J201, J202</t>
  </si>
  <si>
    <t>R201</t>
  </si>
  <si>
    <t>R203</t>
  </si>
  <si>
    <t>J301, J302</t>
  </si>
  <si>
    <t>J303</t>
  </si>
  <si>
    <t>U401</t>
  </si>
  <si>
    <t>R401</t>
  </si>
  <si>
    <t>R402</t>
  </si>
  <si>
    <t>R403</t>
  </si>
  <si>
    <t>U402</t>
  </si>
  <si>
    <t>U501</t>
  </si>
  <si>
    <t>0.022 µF ±10% 25V Ceramic Capacitor X7R 0402 (1005 Metric)</t>
  </si>
  <si>
    <t>0.022 µF</t>
  </si>
  <si>
    <t>TMK105B7223KV-F</t>
  </si>
  <si>
    <t>https://www.digikey.ca/en/products/detail/taiyo-yuden/TMK105B7223KV-F/2002854</t>
  </si>
  <si>
    <t>4.7 µF</t>
  </si>
  <si>
    <t>CM316X5R475K25AT</t>
  </si>
  <si>
    <t>https://www.digikey.ca/en/products/detail/avx-corporation/12105C475KAT2A/1888179</t>
  </si>
  <si>
    <t>4.7 µF ±10% 50V Ceramic Capacitor X7R 1210 (3225 Metric)</t>
  </si>
  <si>
    <t>0.1 µF ±10% 50V Ceramic Capacitor X5R 0603 (1608 Metric)</t>
  </si>
  <si>
    <t>https://www.digikey.ca/en/products/detail/tdk-corporation/C1608X5R1H104K080AA/2732891</t>
  </si>
  <si>
    <t>C1608X5R1H104K080AA</t>
  </si>
  <si>
    <t>C3216X7R1H105M160AE</t>
  </si>
  <si>
    <t>1 µF ±20% 50V Ceramic Capacitor X7R 1206 (3216 Metric)</t>
  </si>
  <si>
    <t>1 µF</t>
  </si>
  <si>
    <t>https://www.digikey.ca/en/products/detail/tdk-corporation/C3216X7R1H105M160AE/2616400</t>
  </si>
  <si>
    <t>UMK325BJ106KMHT</t>
  </si>
  <si>
    <t>10 µF ±10% 50V Ceramic Capacitor X5R 1210 (3225 Metric)</t>
  </si>
  <si>
    <t>10 µF</t>
  </si>
  <si>
    <t>https://www.digikey.ca/en/products/detail/taiyo-yuden/UMK325BJ106KMHT/4811088</t>
  </si>
  <si>
    <t>C206, C401, C502</t>
  </si>
  <si>
    <t>C501</t>
  </si>
  <si>
    <t>C1608X5R1H334K080AB</t>
  </si>
  <si>
    <t>0.33 µF ±10% 50V Ceramic Capacitor X5R 0603 (1608 Metric)</t>
  </si>
  <si>
    <t>https://www.digikey.ca/en/products/detail/tdk-corporation/C1608X5R1H334K080AB/2732897</t>
  </si>
  <si>
    <t>0.33 µF</t>
  </si>
  <si>
    <t>0.1 µF</t>
  </si>
  <si>
    <t>D401</t>
  </si>
  <si>
    <t>Zener Diode 4.7 V 500 mW ±5% Surface Mount SOD-123</t>
  </si>
  <si>
    <t>DIODE ZENER 4.7V 500MW SOD123</t>
  </si>
  <si>
    <t>C204, C301, C302</t>
  </si>
  <si>
    <t>C203, C303</t>
  </si>
  <si>
    <t>2 Position Wire to Board Terminal Block Horizontal with Board 0.100" (2.54mm) Through Hole</t>
  </si>
  <si>
    <t>https://www.digikey.ca/en/products/detail/te-connectivity-amp-connectors/282834-2/1150135</t>
  </si>
  <si>
    <t>TERM BLK 2P SIDE ENT 2.54MM PCB</t>
  </si>
  <si>
    <t>282834-2</t>
  </si>
  <si>
    <t>15Fx1-254mm</t>
  </si>
  <si>
    <t>Headers &amp; Wire Housings 2.54MM 0.1" 15-PIN FEMALE HEADER</t>
  </si>
  <si>
    <t>2.54MM 0.1" 15-PIN FEMALE HEADER</t>
  </si>
  <si>
    <t>RMCF1210FT10K0</t>
  </si>
  <si>
    <t>10 kOhms ±1% 0.333W, 1/3W Chip Resistor 1210 (3225 Metric) Automotive AEC-Q200 Thick Film</t>
  </si>
  <si>
    <t>https://www.digikey.ca/en/products/detail/stackpole-electronics-inc/RMCF1210FT10K0/1758528</t>
  </si>
  <si>
    <t>https://www.mouser.ca/ProductDetail/Gravitech/15Fx1-254mm?qs=Vxac6xGyzPnMG7UJxd5xkg%3D%3D</t>
  </si>
  <si>
    <t>ERJ-PB6D6342V</t>
  </si>
  <si>
    <t xml:space="preserve">10 kΩ </t>
  </si>
  <si>
    <t xml:space="preserve">16 mΩ </t>
  </si>
  <si>
    <t xml:space="preserve">10 mΩ </t>
  </si>
  <si>
    <t xml:space="preserve">63.4 kΩ </t>
  </si>
  <si>
    <t>63.4 kOhms ±0.5% 0.25W, 1/4W Chip Resistor 0805 (2012 Metric) Automotive AEC-Q200, Pulse Withstanding Thick Film</t>
  </si>
  <si>
    <t>https://www.digikey.ca/en/products/detail/panasonic-electronic-components/ERJ-PB6D6342V/6214008</t>
  </si>
  <si>
    <t>OP07DRZ</t>
  </si>
  <si>
    <t>IC OPAMP GP 1 CIRCUIT 8SOIC</t>
  </si>
  <si>
    <t>General Purpose Amplifier 1 Circuit - 8-SOIC</t>
  </si>
  <si>
    <t>https://www.mouser.ca/ProductDetail/Analog-Devices/OP07DRZ?qs=WIvQP4zGanjFjIxxZMA54A%3D%3D</t>
  </si>
  <si>
    <t>MOSFET N-CH 30V 18A 8SOIC</t>
  </si>
  <si>
    <t>N-Channel 30 V 18A (Ta) 2.5W (Ta) Surface Mount 8-SOIC</t>
  </si>
  <si>
    <t>Linear Voltage Regulator IC Positive Fixed 1 Output 800mA SOT-223</t>
  </si>
  <si>
    <t>IC REG LINEAR 3.3V 800MA SOT223</t>
  </si>
  <si>
    <t>PPPC031LFBN-RC</t>
  </si>
  <si>
    <t>CONN HDR 3POS 0.1 GOLD PCB</t>
  </si>
  <si>
    <t>https://www.digikey.ca/en/products/detail/sullins-connector-solutions/PPPC031LFBN-RC/810175</t>
  </si>
  <si>
    <t>3 Position Header Connector 0.100" (2.54mm) Through Hole Gold</t>
  </si>
  <si>
    <t>RNCP1206FTD6K04</t>
  </si>
  <si>
    <t>6.04 kΩ</t>
  </si>
  <si>
    <t>6.04 kOhms ±1% 0.5W, 1/2W Chip Resistor 1206 (3216 Metric) Anti-Sulfur, Moisture Resistant Thin Film</t>
  </si>
  <si>
    <t>https://www.digikey.ca/en/products/detail/stackpole-electronics-inc/RNCP1206FTD6K04/2240363</t>
  </si>
  <si>
    <t>CRCW121015R0JNEA</t>
  </si>
  <si>
    <t>15 Ω</t>
  </si>
  <si>
    <t>15 Ohms ±5% 0.5W, 1/2W Chip Resistor 1210 (3225 Metric) Automotive AEC-Q200 Thick Film</t>
  </si>
  <si>
    <t>https://www.digikey.ca/en/products/detail/vishay-dale/CRCW121015R0JNEA/1177130</t>
  </si>
  <si>
    <t>RNCP1206FTD14K0</t>
  </si>
  <si>
    <t>14 kΩ</t>
  </si>
  <si>
    <t>14 kOhms ±1% 0.5W, 1/2W Chip Resistor 1206 (3216 Metric) Anti-Sulfur, Moisture Resistant Thin Film</t>
  </si>
  <si>
    <t>https://www.digikey.ca/en/products/detail/stackpole-electronics-inc/RNCP1206FTD14K0/2240376</t>
  </si>
  <si>
    <t>https://www.digikey.ca/en/products/detail/onsemi/2N7002T/1830658?s=N4IgjCBcoLQOxVAYygMwIYBsDOBTANCAPZQDaIALGABxz4XXUgC6AvoTAEyIgqQAuAJwCuBYmRABWFq1lA</t>
  </si>
  <si>
    <t>Cost</t>
  </si>
  <si>
    <t>Cost per Unit</t>
  </si>
  <si>
    <t>Total Cost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</si>
</sst>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diodes-incorporated/MMSZ5230B-7-F/814370" TargetMode="External"/><Relationship Id="rId13" Type="http://schemas.openxmlformats.org/officeDocument/2006/relationships/hyperlink" Target="https://www.digikey.ca/en/products/detail/tdk-corporation/C3216X7R1H105M160AE/2616400" TargetMode="External"/><Relationship Id="rId18" Type="http://schemas.openxmlformats.org/officeDocument/2006/relationships/hyperlink" Target="https://www.mouser.ca/ProductDetail/Gravitech/15Fx1-254mm?qs=Vxac6xGyzPnMG7UJxd5xkg%3D%3D" TargetMode="External"/><Relationship Id="rId26" Type="http://schemas.openxmlformats.org/officeDocument/2006/relationships/hyperlink" Target="https://www.digikey.ca/en/products/detail/onsemi/2N7002T/1830658?s=N4IgjCBcoLQOxVAYygMwIYBsDOBTANCAPZQDaIALGABxz4XXUgC6AvoTAEyIgqQAuAJwCuBYmRABWFq1lA" TargetMode="External"/><Relationship Id="rId3" Type="http://schemas.openxmlformats.org/officeDocument/2006/relationships/hyperlink" Target="https://www.digikey.ca/en/products/detail/yageo/PNP5WVJT-73-5R/4135362" TargetMode="External"/><Relationship Id="rId21" Type="http://schemas.openxmlformats.org/officeDocument/2006/relationships/hyperlink" Target="https://www.digikey.ca/en/products/detail/sullins-connector-solutions/PPPC031LFBN-RC/810175" TargetMode="External"/><Relationship Id="rId7" Type="http://schemas.openxmlformats.org/officeDocument/2006/relationships/hyperlink" Target="https://www.digikey.ca/en/products/detail/on-semiconductor/FDMC86570L/4214735" TargetMode="External"/><Relationship Id="rId12" Type="http://schemas.openxmlformats.org/officeDocument/2006/relationships/hyperlink" Target="https://www.digikey.ca/en/products/detail/tdk-corporation/C1608X5R1H104K080AA/2732891" TargetMode="External"/><Relationship Id="rId17" Type="http://schemas.openxmlformats.org/officeDocument/2006/relationships/hyperlink" Target="https://www.digikey.ca/en/products/detail/stackpole-electronics-inc/RMCF1210FT10K0/1758528" TargetMode="External"/><Relationship Id="rId25" Type="http://schemas.openxmlformats.org/officeDocument/2006/relationships/hyperlink" Target="https://www.mouser.ca/ProductDetail/Analog-Devices/OP07DRZ?qs=WIvQP4zGanjFjIxxZMA54A%3D%3D" TargetMode="External"/><Relationship Id="rId2" Type="http://schemas.openxmlformats.org/officeDocument/2006/relationships/hyperlink" Target="https://www.mouser.ca/ProductDetail/Coilcraft/XAL5030-472MEC?qs=%2Fha2pyFadugiM9fsE9yCgCxBHl3VMUPWiNLosrhU%252Bb2%2FUad11oAuvg%3D%3D" TargetMode="External"/><Relationship Id="rId16" Type="http://schemas.openxmlformats.org/officeDocument/2006/relationships/hyperlink" Target="https://www.digikey.ca/en/products/detail/te-connectivity-amp-connectors/282834-2/1150135" TargetMode="External"/><Relationship Id="rId20" Type="http://schemas.openxmlformats.org/officeDocument/2006/relationships/hyperlink" Target="https://www.digikey.ca/en/products/detail/stmicroelectronics/LD29080S33R/3458193" TargetMode="External"/><Relationship Id="rId1" Type="http://schemas.openxmlformats.org/officeDocument/2006/relationships/hyperlink" Target="https://www.mouser.ca/ProductDetail/Vishay-BC-Components/NTCS0402E3103FLT?qs=%2Fha2pyFaduihBwLmALUiD7HgpscXl%252BxDUzkU%2F4sxQoRPH1fz8j%252B1og%3D%3D" TargetMode="External"/><Relationship Id="rId6" Type="http://schemas.openxmlformats.org/officeDocument/2006/relationships/hyperlink" Target="https://www.digikey.ca/en/products/detail/panasonic-electronic-components/ERJ-8BWFR016V/1711637?s=N4IgTCBcDaIKICUBSBaAHAIQOoDEEAYBGANgDUQBdAXyA" TargetMode="External"/><Relationship Id="rId11" Type="http://schemas.openxmlformats.org/officeDocument/2006/relationships/hyperlink" Target="https://www.digikey.ca/en/products/detail/avx-corporation/12105C475KAT2A/1888179" TargetMode="External"/><Relationship Id="rId24" Type="http://schemas.openxmlformats.org/officeDocument/2006/relationships/hyperlink" Target="https://www.digikey.ca/en/products/detail/stackpole-electronics-inc/RNCP1206FTD14K0/2240376" TargetMode="External"/><Relationship Id="rId5" Type="http://schemas.openxmlformats.org/officeDocument/2006/relationships/hyperlink" Target="https://www.digikey.ca/en/products/detail/yageo/PE1206FRF070R01L/5914310" TargetMode="External"/><Relationship Id="rId15" Type="http://schemas.openxmlformats.org/officeDocument/2006/relationships/hyperlink" Target="https://www.digikey.ca/en/products/detail/tdk-corporation/C1608X5R1H334K080AB/2732897" TargetMode="External"/><Relationship Id="rId23" Type="http://schemas.openxmlformats.org/officeDocument/2006/relationships/hyperlink" Target="https://www.digikey.ca/en/products/detail/vishay-dale/CRCW121015R0JNEA/1177130" TargetMode="External"/><Relationship Id="rId10" Type="http://schemas.openxmlformats.org/officeDocument/2006/relationships/hyperlink" Target="https://www.digikey.ca/en/products/detail/taiyo-yuden/TMK105B7223KV-F/2002854" TargetMode="External"/><Relationship Id="rId19" Type="http://schemas.openxmlformats.org/officeDocument/2006/relationships/hyperlink" Target="https://www.digikey.ca/en/products/detail/panasonic-electronic-components/ERJ-PB6D6342V/6214008" TargetMode="External"/><Relationship Id="rId4" Type="http://schemas.openxmlformats.org/officeDocument/2006/relationships/hyperlink" Target="https://www.digikey.ca/en/products/detail/panasonic-electronic-components/EEU-FC1H151/356157" TargetMode="External"/><Relationship Id="rId9" Type="http://schemas.openxmlformats.org/officeDocument/2006/relationships/hyperlink" Target="https://www.digikey.ca/en/products/detail/on-semiconductor/FDS8870/3478357" TargetMode="External"/><Relationship Id="rId14" Type="http://schemas.openxmlformats.org/officeDocument/2006/relationships/hyperlink" Target="https://www.digikey.ca/en/products/detail/taiyo-yuden/UMK325BJ106KMHT/4811088" TargetMode="External"/><Relationship Id="rId22" Type="http://schemas.openxmlformats.org/officeDocument/2006/relationships/hyperlink" Target="https://www.digikey.ca/en/products/detail/stackpole-electronics-inc/RNCP1206FTD6K04/2240363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89B4-4DB9-4852-9812-7AD59892D29B}">
  <dimension ref="A1:I53"/>
  <sheetViews>
    <sheetView tabSelected="1" topLeftCell="F1" workbookViewId="0">
      <selection activeCell="I18" sqref="I18"/>
    </sheetView>
  </sheetViews>
  <sheetFormatPr defaultRowHeight="15" x14ac:dyDescent="0.25"/>
  <cols>
    <col min="1" max="1" width="33" customWidth="1"/>
    <col min="2" max="2" width="20.28515625" customWidth="1"/>
    <col min="3" max="3" width="18.28515625" customWidth="1"/>
    <col min="4" max="4" width="12.42578125" customWidth="1"/>
    <col min="5" max="5" width="53.140625" customWidth="1"/>
    <col min="6" max="6" width="67.28515625" customWidth="1"/>
    <col min="7" max="9" width="18.28515625" customWidth="1"/>
  </cols>
  <sheetData>
    <row r="1" spans="1:9" x14ac:dyDescent="0.25">
      <c r="A1" s="2" t="s">
        <v>0</v>
      </c>
      <c r="B1" s="2" t="s">
        <v>3</v>
      </c>
      <c r="C1" s="2" t="s">
        <v>40</v>
      </c>
      <c r="D1" s="2" t="s">
        <v>2</v>
      </c>
      <c r="E1" s="2" t="s">
        <v>1</v>
      </c>
      <c r="F1" s="2" t="s">
        <v>4</v>
      </c>
      <c r="G1" s="2" t="s">
        <v>142</v>
      </c>
      <c r="H1" s="2" t="s">
        <v>141</v>
      </c>
      <c r="I1" s="2" t="s">
        <v>143</v>
      </c>
    </row>
    <row r="2" spans="1:9" x14ac:dyDescent="0.25">
      <c r="A2" t="s">
        <v>6</v>
      </c>
      <c r="B2" t="s">
        <v>17</v>
      </c>
      <c r="C2" t="s">
        <v>43</v>
      </c>
      <c r="D2">
        <v>1</v>
      </c>
      <c r="E2" t="s">
        <v>5</v>
      </c>
      <c r="F2" s="1" t="s">
        <v>42</v>
      </c>
      <c r="G2" s="3">
        <v>9.84</v>
      </c>
      <c r="H2" s="3">
        <f>(D2*G2)</f>
        <v>9.84</v>
      </c>
      <c r="I2" s="3">
        <f>SUM(H2:H28)</f>
        <v>43.81</v>
      </c>
    </row>
    <row r="3" spans="1:9" x14ac:dyDescent="0.25">
      <c r="A3" t="s">
        <v>44</v>
      </c>
      <c r="B3" t="s">
        <v>16</v>
      </c>
      <c r="C3" t="s">
        <v>45</v>
      </c>
      <c r="D3">
        <v>1</v>
      </c>
      <c r="E3" t="s">
        <v>46</v>
      </c>
      <c r="F3" s="1" t="s">
        <v>47</v>
      </c>
      <c r="G3" s="3">
        <v>3.23</v>
      </c>
      <c r="H3" s="3">
        <f t="shared" ref="H3:H28" si="0">(D3*G3)</f>
        <v>3.23</v>
      </c>
    </row>
    <row r="4" spans="1:9" x14ac:dyDescent="0.25">
      <c r="A4" t="s">
        <v>7</v>
      </c>
      <c r="B4" t="s">
        <v>18</v>
      </c>
      <c r="C4" t="s">
        <v>49</v>
      </c>
      <c r="D4">
        <v>1</v>
      </c>
      <c r="E4" t="s">
        <v>48</v>
      </c>
      <c r="F4" s="1" t="s">
        <v>140</v>
      </c>
      <c r="G4" s="3">
        <v>0.56999999999999995</v>
      </c>
      <c r="H4" s="3">
        <f t="shared" si="0"/>
        <v>0.56999999999999995</v>
      </c>
    </row>
    <row r="5" spans="1:9" x14ac:dyDescent="0.25">
      <c r="A5" t="s">
        <v>8</v>
      </c>
      <c r="B5" t="s">
        <v>19</v>
      </c>
      <c r="C5" t="s">
        <v>50</v>
      </c>
      <c r="D5">
        <v>1</v>
      </c>
      <c r="E5" t="s">
        <v>51</v>
      </c>
      <c r="F5" s="1" t="s">
        <v>9</v>
      </c>
      <c r="G5" s="3">
        <v>0.98</v>
      </c>
      <c r="H5" s="3">
        <f t="shared" si="0"/>
        <v>0.98</v>
      </c>
    </row>
    <row r="6" spans="1:9" x14ac:dyDescent="0.25">
      <c r="A6" t="s">
        <v>10</v>
      </c>
      <c r="B6" t="s">
        <v>20</v>
      </c>
      <c r="C6" t="s">
        <v>52</v>
      </c>
      <c r="D6">
        <v>1</v>
      </c>
      <c r="E6" t="s">
        <v>53</v>
      </c>
      <c r="F6" s="1" t="s">
        <v>11</v>
      </c>
      <c r="G6" s="3">
        <v>3.08</v>
      </c>
      <c r="H6" s="3">
        <f t="shared" si="0"/>
        <v>3.08</v>
      </c>
    </row>
    <row r="7" spans="1:9" x14ac:dyDescent="0.25">
      <c r="A7" t="s">
        <v>23</v>
      </c>
      <c r="B7" t="s">
        <v>24</v>
      </c>
      <c r="C7" t="s">
        <v>41</v>
      </c>
      <c r="D7">
        <v>2</v>
      </c>
      <c r="E7" t="s">
        <v>25</v>
      </c>
      <c r="F7" s="1" t="s">
        <v>26</v>
      </c>
      <c r="G7" s="3">
        <v>0.81</v>
      </c>
      <c r="H7" s="3">
        <f t="shared" si="0"/>
        <v>1.62</v>
      </c>
    </row>
    <row r="8" spans="1:9" x14ac:dyDescent="0.25">
      <c r="A8" t="s">
        <v>27</v>
      </c>
      <c r="B8" t="s">
        <v>29</v>
      </c>
      <c r="C8" t="s">
        <v>54</v>
      </c>
      <c r="D8">
        <v>1</v>
      </c>
      <c r="E8" t="s">
        <v>30</v>
      </c>
      <c r="F8" s="1" t="s">
        <v>31</v>
      </c>
      <c r="G8" s="3">
        <v>0.96</v>
      </c>
      <c r="H8" s="3">
        <f t="shared" si="0"/>
        <v>0.96</v>
      </c>
    </row>
    <row r="9" spans="1:9" x14ac:dyDescent="0.25">
      <c r="A9" t="s">
        <v>34</v>
      </c>
      <c r="B9" t="s">
        <v>32</v>
      </c>
      <c r="C9" t="s">
        <v>111</v>
      </c>
      <c r="D9">
        <v>1</v>
      </c>
      <c r="E9" t="s">
        <v>33</v>
      </c>
      <c r="F9" s="1" t="s">
        <v>39</v>
      </c>
      <c r="G9" s="3">
        <v>1.24</v>
      </c>
      <c r="H9" s="3">
        <f t="shared" si="0"/>
        <v>1.24</v>
      </c>
    </row>
    <row r="10" spans="1:9" x14ac:dyDescent="0.25">
      <c r="A10" t="s">
        <v>35</v>
      </c>
      <c r="B10" t="s">
        <v>36</v>
      </c>
      <c r="C10" t="s">
        <v>112</v>
      </c>
      <c r="D10">
        <v>1</v>
      </c>
      <c r="E10" t="s">
        <v>37</v>
      </c>
      <c r="F10" s="1" t="s">
        <v>38</v>
      </c>
      <c r="G10" s="3">
        <v>0.89</v>
      </c>
      <c r="H10" s="3">
        <f t="shared" si="0"/>
        <v>0.89</v>
      </c>
    </row>
    <row r="11" spans="1:9" x14ac:dyDescent="0.25">
      <c r="A11" t="s">
        <v>69</v>
      </c>
      <c r="B11" t="s">
        <v>28</v>
      </c>
      <c r="C11" t="s">
        <v>68</v>
      </c>
      <c r="D11">
        <v>1</v>
      </c>
      <c r="E11" t="s">
        <v>67</v>
      </c>
      <c r="F11" s="1" t="s">
        <v>70</v>
      </c>
      <c r="G11" s="3">
        <v>0.14000000000000001</v>
      </c>
      <c r="H11" s="3">
        <f t="shared" si="0"/>
        <v>0.14000000000000001</v>
      </c>
    </row>
    <row r="12" spans="1:9" x14ac:dyDescent="0.25">
      <c r="A12" t="s">
        <v>72</v>
      </c>
      <c r="B12" t="s">
        <v>97</v>
      </c>
      <c r="C12" t="s">
        <v>71</v>
      </c>
      <c r="D12">
        <v>2</v>
      </c>
      <c r="E12" t="s">
        <v>74</v>
      </c>
      <c r="F12" s="1" t="s">
        <v>73</v>
      </c>
      <c r="G12" s="3">
        <v>0.69</v>
      </c>
      <c r="H12" s="3">
        <f t="shared" si="0"/>
        <v>1.38</v>
      </c>
    </row>
    <row r="13" spans="1:9" x14ac:dyDescent="0.25">
      <c r="A13" t="s">
        <v>77</v>
      </c>
      <c r="B13" t="s">
        <v>96</v>
      </c>
      <c r="C13" t="s">
        <v>92</v>
      </c>
      <c r="D13">
        <v>4</v>
      </c>
      <c r="E13" t="s">
        <v>75</v>
      </c>
      <c r="F13" s="1" t="s">
        <v>76</v>
      </c>
      <c r="G13" s="3">
        <v>0.16</v>
      </c>
      <c r="H13" s="3">
        <f t="shared" si="0"/>
        <v>0.64</v>
      </c>
    </row>
    <row r="14" spans="1:9" x14ac:dyDescent="0.25">
      <c r="A14" t="s">
        <v>78</v>
      </c>
      <c r="B14" t="s">
        <v>55</v>
      </c>
      <c r="C14" t="s">
        <v>80</v>
      </c>
      <c r="D14">
        <v>1</v>
      </c>
      <c r="E14" t="s">
        <v>79</v>
      </c>
      <c r="F14" s="1" t="s">
        <v>81</v>
      </c>
      <c r="G14" s="3">
        <v>0.46</v>
      </c>
      <c r="H14" s="3">
        <f t="shared" si="0"/>
        <v>0.46</v>
      </c>
    </row>
    <row r="15" spans="1:9" x14ac:dyDescent="0.25">
      <c r="A15" t="s">
        <v>82</v>
      </c>
      <c r="B15" t="s">
        <v>86</v>
      </c>
      <c r="C15" t="s">
        <v>84</v>
      </c>
      <c r="D15">
        <v>3</v>
      </c>
      <c r="E15" t="s">
        <v>83</v>
      </c>
      <c r="F15" s="1" t="s">
        <v>85</v>
      </c>
      <c r="G15" s="3">
        <v>1.1499999999999999</v>
      </c>
      <c r="H15" s="3">
        <f t="shared" si="0"/>
        <v>3.4499999999999997</v>
      </c>
    </row>
    <row r="16" spans="1:9" x14ac:dyDescent="0.25">
      <c r="A16" t="s">
        <v>88</v>
      </c>
      <c r="B16" t="s">
        <v>87</v>
      </c>
      <c r="C16" t="s">
        <v>91</v>
      </c>
      <c r="D16">
        <v>1</v>
      </c>
      <c r="E16" t="s">
        <v>89</v>
      </c>
      <c r="F16" s="1" t="s">
        <v>90</v>
      </c>
      <c r="G16" s="3">
        <v>0.28000000000000003</v>
      </c>
      <c r="H16" s="3">
        <f t="shared" si="0"/>
        <v>0.28000000000000003</v>
      </c>
    </row>
    <row r="17" spans="1:8" x14ac:dyDescent="0.25">
      <c r="A17" t="s">
        <v>14</v>
      </c>
      <c r="B17" t="s">
        <v>93</v>
      </c>
      <c r="C17" t="s">
        <v>95</v>
      </c>
      <c r="D17">
        <v>1</v>
      </c>
      <c r="E17" t="s">
        <v>94</v>
      </c>
      <c r="F17" s="1" t="s">
        <v>15</v>
      </c>
      <c r="G17" s="3">
        <v>0.32</v>
      </c>
      <c r="H17" s="3">
        <f t="shared" si="0"/>
        <v>0.32</v>
      </c>
    </row>
    <row r="18" spans="1:8" x14ac:dyDescent="0.25">
      <c r="A18" t="s">
        <v>101</v>
      </c>
      <c r="B18" t="s">
        <v>56</v>
      </c>
      <c r="C18" t="s">
        <v>100</v>
      </c>
      <c r="D18">
        <v>2</v>
      </c>
      <c r="E18" t="s">
        <v>98</v>
      </c>
      <c r="F18" s="1" t="s">
        <v>99</v>
      </c>
      <c r="G18" s="3">
        <v>1.82</v>
      </c>
      <c r="H18" s="3">
        <f t="shared" si="0"/>
        <v>3.64</v>
      </c>
    </row>
    <row r="19" spans="1:8" x14ac:dyDescent="0.25">
      <c r="A19" t="s">
        <v>102</v>
      </c>
      <c r="B19" t="s">
        <v>59</v>
      </c>
      <c r="C19" t="s">
        <v>104</v>
      </c>
      <c r="D19">
        <v>2</v>
      </c>
      <c r="E19" t="s">
        <v>103</v>
      </c>
      <c r="F19" s="1" t="s">
        <v>108</v>
      </c>
      <c r="G19" s="3">
        <v>1.45</v>
      </c>
      <c r="H19" s="3">
        <f t="shared" si="0"/>
        <v>2.9</v>
      </c>
    </row>
    <row r="20" spans="1:8" x14ac:dyDescent="0.25">
      <c r="A20" t="s">
        <v>124</v>
      </c>
      <c r="B20" t="s">
        <v>60</v>
      </c>
      <c r="C20" t="s">
        <v>125</v>
      </c>
      <c r="D20">
        <v>1</v>
      </c>
      <c r="E20" t="s">
        <v>127</v>
      </c>
      <c r="F20" s="1" t="s">
        <v>126</v>
      </c>
      <c r="G20" s="3">
        <v>0.5</v>
      </c>
      <c r="H20" s="3">
        <f t="shared" si="0"/>
        <v>0.5</v>
      </c>
    </row>
    <row r="21" spans="1:8" x14ac:dyDescent="0.25">
      <c r="A21" t="s">
        <v>105</v>
      </c>
      <c r="B21" t="s">
        <v>57</v>
      </c>
      <c r="C21" t="s">
        <v>110</v>
      </c>
      <c r="D21">
        <v>1</v>
      </c>
      <c r="E21" t="s">
        <v>106</v>
      </c>
      <c r="F21" s="1" t="s">
        <v>107</v>
      </c>
      <c r="G21" s="3">
        <v>0.22</v>
      </c>
      <c r="H21" s="3">
        <f t="shared" si="0"/>
        <v>0.22</v>
      </c>
    </row>
    <row r="22" spans="1:8" x14ac:dyDescent="0.25">
      <c r="A22" t="s">
        <v>109</v>
      </c>
      <c r="B22" t="s">
        <v>58</v>
      </c>
      <c r="C22" t="s">
        <v>113</v>
      </c>
      <c r="D22">
        <v>1</v>
      </c>
      <c r="E22" t="s">
        <v>114</v>
      </c>
      <c r="F22" s="1" t="s">
        <v>115</v>
      </c>
      <c r="G22" s="3">
        <v>0.33</v>
      </c>
      <c r="H22" s="3">
        <f t="shared" si="0"/>
        <v>0.33</v>
      </c>
    </row>
    <row r="23" spans="1:8" x14ac:dyDescent="0.25">
      <c r="A23" t="s">
        <v>128</v>
      </c>
      <c r="B23" t="s">
        <v>62</v>
      </c>
      <c r="C23" t="s">
        <v>129</v>
      </c>
      <c r="D23">
        <v>1</v>
      </c>
      <c r="E23" t="s">
        <v>130</v>
      </c>
      <c r="F23" s="1" t="s">
        <v>131</v>
      </c>
      <c r="G23" s="3">
        <v>0.14000000000000001</v>
      </c>
      <c r="H23" s="3">
        <f t="shared" si="0"/>
        <v>0.14000000000000001</v>
      </c>
    </row>
    <row r="24" spans="1:8" x14ac:dyDescent="0.25">
      <c r="A24" t="s">
        <v>132</v>
      </c>
      <c r="B24" t="s">
        <v>63</v>
      </c>
      <c r="C24" t="s">
        <v>133</v>
      </c>
      <c r="D24">
        <v>1</v>
      </c>
      <c r="E24" t="s">
        <v>134</v>
      </c>
      <c r="F24" s="1" t="s">
        <v>135</v>
      </c>
      <c r="G24" s="3">
        <v>0.32</v>
      </c>
      <c r="H24" s="3">
        <f t="shared" si="0"/>
        <v>0.32</v>
      </c>
    </row>
    <row r="25" spans="1:8" x14ac:dyDescent="0.25">
      <c r="A25" t="s">
        <v>136</v>
      </c>
      <c r="B25" t="s">
        <v>64</v>
      </c>
      <c r="C25" t="s">
        <v>137</v>
      </c>
      <c r="D25">
        <v>1</v>
      </c>
      <c r="E25" t="s">
        <v>138</v>
      </c>
      <c r="F25" s="1" t="s">
        <v>139</v>
      </c>
      <c r="G25" s="3">
        <v>0.14000000000000001</v>
      </c>
      <c r="H25" s="3">
        <f t="shared" si="0"/>
        <v>0.14000000000000001</v>
      </c>
    </row>
    <row r="26" spans="1:8" x14ac:dyDescent="0.25">
      <c r="A26" t="s">
        <v>116</v>
      </c>
      <c r="B26" t="s">
        <v>61</v>
      </c>
      <c r="C26" t="s">
        <v>117</v>
      </c>
      <c r="D26">
        <v>1</v>
      </c>
      <c r="E26" t="s">
        <v>118</v>
      </c>
      <c r="F26" s="1" t="s">
        <v>119</v>
      </c>
      <c r="G26" s="3">
        <v>2.36</v>
      </c>
      <c r="H26" s="3">
        <f t="shared" si="0"/>
        <v>2.36</v>
      </c>
    </row>
    <row r="27" spans="1:8" x14ac:dyDescent="0.25">
      <c r="A27" t="s">
        <v>21</v>
      </c>
      <c r="B27" t="s">
        <v>65</v>
      </c>
      <c r="C27" t="s">
        <v>120</v>
      </c>
      <c r="D27">
        <v>1</v>
      </c>
      <c r="E27" t="s">
        <v>121</v>
      </c>
      <c r="F27" s="1" t="s">
        <v>22</v>
      </c>
      <c r="G27" s="3">
        <v>2.1800000000000002</v>
      </c>
      <c r="H27" s="3">
        <f t="shared" si="0"/>
        <v>2.1800000000000002</v>
      </c>
    </row>
    <row r="28" spans="1:8" x14ac:dyDescent="0.25">
      <c r="A28" t="s">
        <v>12</v>
      </c>
      <c r="B28" t="s">
        <v>66</v>
      </c>
      <c r="C28" t="s">
        <v>123</v>
      </c>
      <c r="D28">
        <v>1</v>
      </c>
      <c r="E28" t="s">
        <v>122</v>
      </c>
      <c r="F28" s="1" t="s">
        <v>13</v>
      </c>
      <c r="G28" s="3">
        <v>2</v>
      </c>
      <c r="H28" s="3">
        <f t="shared" si="0"/>
        <v>2</v>
      </c>
    </row>
    <row r="53" spans="6:6" x14ac:dyDescent="0.25">
      <c r="F53" s="1"/>
    </row>
  </sheetData>
  <hyperlinks>
    <hyperlink ref="F5" r:id="rId1" xr:uid="{5765CF8B-41BC-41F7-A21F-63AD85B1712F}"/>
    <hyperlink ref="F6" r:id="rId2" xr:uid="{EF946598-DD37-495D-BBF7-43F208C6D3EF}"/>
    <hyperlink ref="F7" r:id="rId3" xr:uid="{E9F5B90A-6AB2-4BE8-8330-07E1171C0BCA}"/>
    <hyperlink ref="F8" r:id="rId4" xr:uid="{5C180F05-8540-4D0A-9372-E170E74357FD}"/>
    <hyperlink ref="F10" r:id="rId5" xr:uid="{EA535914-BA6B-4890-87F4-A4BC16A75780}"/>
    <hyperlink ref="F9" r:id="rId6" xr:uid="{DD2274DF-C4CF-4486-B0F5-D4A5B8A9BB42}"/>
    <hyperlink ref="F3" r:id="rId7" xr:uid="{3DD64552-3E6E-4FD5-899A-09688595A9A8}"/>
    <hyperlink ref="F17" r:id="rId8" xr:uid="{C86B3299-3F0C-4BB9-A054-E7C1BE5AFA31}"/>
    <hyperlink ref="F27" r:id="rId9" xr:uid="{773880E5-CB00-4C67-98CA-8CA2D8C39797}"/>
    <hyperlink ref="F11" r:id="rId10" xr:uid="{4A6926FE-1195-481F-82DF-AE32BDB9DECE}"/>
    <hyperlink ref="F12" r:id="rId11" xr:uid="{CAEE9CAC-40D6-48CD-BE40-86EA6AC7405D}"/>
    <hyperlink ref="F13" r:id="rId12" xr:uid="{D58F5E1A-CD57-44F7-A8FF-D90361DA8D09}"/>
    <hyperlink ref="F14" r:id="rId13" xr:uid="{E957A27E-32D2-471E-84E7-A0A41354798C}"/>
    <hyperlink ref="F15" r:id="rId14" xr:uid="{2CD319B3-49C4-4D19-9458-CB54F1FC978E}"/>
    <hyperlink ref="F16" r:id="rId15" xr:uid="{C76F4ED2-8E0A-4386-B537-2468403133CC}"/>
    <hyperlink ref="F18" r:id="rId16" xr:uid="{183E7981-BD34-45BF-8198-695E71E45CC0}"/>
    <hyperlink ref="F21" r:id="rId17" xr:uid="{E2150FA9-AAE9-4A0A-B171-8AD7B68DE2AF}"/>
    <hyperlink ref="F19" r:id="rId18" xr:uid="{746B8393-F3E5-45DA-BE2C-D2EB961AE5FE}"/>
    <hyperlink ref="F22" r:id="rId19" xr:uid="{FA3B5787-7006-489D-B17B-561C6B0F2997}"/>
    <hyperlink ref="F28" r:id="rId20" xr:uid="{1FC0C8B5-E5DC-4AED-8C3D-340DB168E4B5}"/>
    <hyperlink ref="F20" r:id="rId21" xr:uid="{7FBD9CFC-AC85-4C07-A93E-DBFFC204E489}"/>
    <hyperlink ref="F23" r:id="rId22" xr:uid="{8D44AEAC-F5BF-4707-810F-E0960F66C295}"/>
    <hyperlink ref="F24" r:id="rId23" xr:uid="{EE082BE9-48B6-4A9D-A4A8-7985FEDE4141}"/>
    <hyperlink ref="F25" r:id="rId24" xr:uid="{4CC09EC0-F121-4708-A1E1-5BD6CA65692F}"/>
    <hyperlink ref="F26" r:id="rId25" xr:uid="{5E33DD8C-B50E-4A87-BDBD-755C4875B88E}"/>
    <hyperlink ref="F4" r:id="rId26" xr:uid="{CB6D260F-6DCB-4497-9CAE-816F4A80D9E2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Osei-Bonsu Jr</dc:creator>
  <cp:lastModifiedBy>Thomas Osei-Bonsu Jr</cp:lastModifiedBy>
  <dcterms:created xsi:type="dcterms:W3CDTF">2021-06-25T06:40:06Z</dcterms:created>
  <dcterms:modified xsi:type="dcterms:W3CDTF">2021-08-27T06:29:38Z</dcterms:modified>
</cp:coreProperties>
</file>